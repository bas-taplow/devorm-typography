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andoverzicht" sheetId="1" state="visible" r:id="rId1"/>
    <sheet name="Parameters" sheetId="2" state="visible" r:id="rId2"/>
    <sheet name="VPB Bereken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€#,##0"/>
    <numFmt numFmtId="165" formatCode="$#,##0"/>
    <numFmt numFmtId="166" formatCode="0.0000"/>
    <numFmt numFmtId="167" formatCode="0.0%"/>
  </numFmts>
  <fonts count="16">
    <font>
      <name val="Calibri"/>
      <family val="2"/>
      <color theme="1"/>
      <sz val="11"/>
      <scheme val="minor"/>
    </font>
    <font>
      <name val="Arial"/>
      <b val="1"/>
      <color rgb="001F4E79"/>
      <sz val="16"/>
    </font>
    <font>
      <name val="Arial"/>
      <i val="1"/>
      <color rgb="00808080"/>
      <sz val="9"/>
    </font>
    <font>
      <name val="Arial"/>
      <b val="1"/>
      <color rgb="002F5496"/>
      <sz val="10"/>
    </font>
    <font>
      <name val="Arial"/>
      <sz val="10"/>
    </font>
    <font>
      <name val="Arial"/>
      <color rgb="000000FF"/>
      <sz val="11"/>
    </font>
    <font>
      <name val="Arial"/>
      <i val="1"/>
      <color rgb="00CC0000"/>
      <sz val="9"/>
    </font>
    <font>
      <name val="Arial"/>
      <b val="1"/>
      <sz val="12"/>
    </font>
    <font>
      <name val="Arial"/>
      <b val="1"/>
      <color rgb="00CC0000"/>
      <sz val="12"/>
    </font>
    <font>
      <name val="Arial"/>
      <b val="1"/>
      <color rgb="00008000"/>
      <sz val="12"/>
    </font>
    <font>
      <name val="Arial"/>
      <color rgb="00008000"/>
      <sz val="10"/>
    </font>
    <font>
      <name val="Arial"/>
      <b val="1"/>
      <sz val="10"/>
    </font>
    <font>
      <name val="Arial"/>
      <b val="1"/>
      <color rgb="001F4E79"/>
      <sz val="14"/>
    </font>
    <font>
      <name val="Arial"/>
      <b val="1"/>
      <color rgb="00CC0000"/>
      <sz val="13"/>
    </font>
    <font>
      <name val="Arial"/>
      <b val="1"/>
      <color rgb="00008000"/>
      <sz val="14"/>
    </font>
    <font>
      <name val="Arial"/>
      <b val="1"/>
      <sz val="11"/>
    </font>
  </fonts>
  <fills count="6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E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1" fillId="0" borderId="1" pivotButton="0" quotePrefix="0" xfId="0"/>
    <xf numFmtId="0" fontId="3" fillId="2" borderId="1" pivotButton="0" quotePrefix="0" xfId="0"/>
    <xf numFmtId="0" fontId="4" fillId="0" borderId="1" pivotButton="0" quotePrefix="0" xfId="0"/>
    <xf numFmtId="164" fontId="4" fillId="0" borderId="1" pivotButton="0" quotePrefix="0" xfId="0"/>
    <xf numFmtId="165" fontId="4" fillId="0" borderId="1" pivotButton="0" quotePrefix="0" xfId="0"/>
    <xf numFmtId="0" fontId="8" fillId="0" borderId="1" pivotButton="0" quotePrefix="0" xfId="0"/>
    <xf numFmtId="164" fontId="8" fillId="5" borderId="1" pivotButton="0" quotePrefix="0" xfId="0"/>
    <xf numFmtId="165" fontId="8" fillId="5" borderId="1" pivotButton="0" quotePrefix="0" xfId="0"/>
    <xf numFmtId="0" fontId="9" fillId="0" borderId="1" pivotButton="0" quotePrefix="0" xfId="0"/>
    <xf numFmtId="164" fontId="9" fillId="4" borderId="1" pivotButton="0" quotePrefix="0" xfId="0"/>
    <xf numFmtId="165" fontId="9" fillId="4" borderId="1" pivotButton="0" quotePrefix="0" xfId="0"/>
    <xf numFmtId="164" fontId="10" fillId="0" borderId="1" pivotButton="0" quotePrefix="0" xfId="0"/>
    <xf numFmtId="164" fontId="4" fillId="5" borderId="1" pivotButton="0" quotePrefix="0" xfId="0"/>
    <xf numFmtId="164" fontId="11" fillId="5" borderId="1" pivotButton="0" quotePrefix="0" xfId="0"/>
    <xf numFmtId="165" fontId="11" fillId="5" borderId="1" pivotButton="0" quotePrefix="0" xfId="0"/>
    <xf numFmtId="0" fontId="2" fillId="0" borderId="1" pivotButton="0" quotePrefix="0" xfId="0"/>
    <xf numFmtId="165" fontId="5" fillId="3" borderId="1" pivotButton="0" quotePrefix="0" xfId="0"/>
    <xf numFmtId="166" fontId="5" fillId="3" borderId="1" pivotButton="0" quotePrefix="0" xfId="0"/>
    <xf numFmtId="0" fontId="6" fillId="0" borderId="1" pivotButton="0" quotePrefix="0" xfId="0"/>
    <xf numFmtId="164" fontId="5" fillId="3" borderId="1" pivotButton="0" quotePrefix="0" xfId="0"/>
    <xf numFmtId="167" fontId="5" fillId="3" borderId="1" pivotButton="0" quotePrefix="0" xfId="0"/>
    <xf numFmtId="0" fontId="7" fillId="0" borderId="1" pivotButton="0" quotePrefix="0" xfId="0"/>
    <xf numFmtId="164" fontId="7" fillId="4" borderId="1" pivotButton="0" quotePrefix="0" xfId="0"/>
    <xf numFmtId="164" fontId="7" fillId="0" borderId="1" pivotButton="0" quotePrefix="0" xfId="0"/>
    <xf numFmtId="164" fontId="8" fillId="0" borderId="1" pivotButton="0" quotePrefix="0" xfId="0"/>
    <xf numFmtId="167" fontId="4" fillId="0" borderId="1" pivotButton="0" quotePrefix="0" xfId="0"/>
    <xf numFmtId="0" fontId="11" fillId="0" borderId="1" pivotButton="0" quotePrefix="0" xfId="0"/>
    <xf numFmtId="164" fontId="11" fillId="0" borderId="1" pivotButton="0" quotePrefix="0" xfId="0"/>
    <xf numFmtId="164" fontId="4" fillId="0" borderId="1" pivotButton="0" quotePrefix="0" xfId="0"/>
    <xf numFmtId="165" fontId="4" fillId="0" borderId="1" pivotButton="0" quotePrefix="0" xfId="0"/>
    <xf numFmtId="164" fontId="8" fillId="5" borderId="1" pivotButton="0" quotePrefix="0" xfId="0"/>
    <xf numFmtId="165" fontId="8" fillId="5" borderId="1" pivotButton="0" quotePrefix="0" xfId="0"/>
    <xf numFmtId="164" fontId="9" fillId="4" borderId="1" pivotButton="0" quotePrefix="0" xfId="0"/>
    <xf numFmtId="165" fontId="9" fillId="4" borderId="1" pivotButton="0" quotePrefix="0" xfId="0"/>
    <xf numFmtId="164" fontId="10" fillId="0" borderId="1" pivotButton="0" quotePrefix="0" xfId="0"/>
    <xf numFmtId="164" fontId="4" fillId="5" borderId="1" pivotButton="0" quotePrefix="0" xfId="0"/>
    <xf numFmtId="164" fontId="11" fillId="5" borderId="1" pivotButton="0" quotePrefix="0" xfId="0"/>
    <xf numFmtId="165" fontId="11" fillId="5" borderId="1" pivotButton="0" quotePrefix="0" xfId="0"/>
    <xf numFmtId="165" fontId="10" fillId="0" borderId="1" pivotButton="0" quotePrefix="0" xfId="0"/>
    <xf numFmtId="164" fontId="7" fillId="4" borderId="1" pivotButton="0" quotePrefix="0" xfId="0"/>
    <xf numFmtId="1" fontId="5" fillId="3" borderId="1" pivotButton="0" quotePrefix="0" xfId="0"/>
    <xf numFmtId="1" fontId="4" fillId="0" borderId="1" pivotButton="0" quotePrefix="0" xfId="0"/>
    <xf numFmtId="0" fontId="12" fillId="0" borderId="1" pivotButton="0" quotePrefix="0" xfId="0"/>
    <xf numFmtId="164" fontId="12" fillId="4" borderId="1" pivotButton="0" quotePrefix="0" xfId="0"/>
    <xf numFmtId="165" fontId="5" fillId="3" borderId="1" pivotButton="0" quotePrefix="0" xfId="0"/>
    <xf numFmtId="166" fontId="5" fillId="3" borderId="1" pivotButton="0" quotePrefix="0" xfId="0"/>
    <xf numFmtId="164" fontId="5" fillId="3" borderId="1" pivotButton="0" quotePrefix="0" xfId="0"/>
    <xf numFmtId="164" fontId="11" fillId="0" borderId="1" pivotButton="0" quotePrefix="0" xfId="0"/>
    <xf numFmtId="165" fontId="11" fillId="0" borderId="1" pivotButton="0" quotePrefix="0" xfId="0"/>
    <xf numFmtId="164" fontId="7" fillId="0" borderId="1" pivotButton="0" quotePrefix="0" xfId="0"/>
    <xf numFmtId="164" fontId="8" fillId="0" borderId="1" pivotButton="0" quotePrefix="0" xfId="0"/>
    <xf numFmtId="0" fontId="13" fillId="0" borderId="1" pivotButton="0" quotePrefix="0" xfId="0"/>
    <xf numFmtId="164" fontId="13" fillId="5" borderId="1" pivotButton="0" quotePrefix="0" xfId="0"/>
    <xf numFmtId="0" fontId="14" fillId="0" borderId="1" pivotButton="0" quotePrefix="0" xfId="0"/>
    <xf numFmtId="164" fontId="14" fillId="4" borderId="1" pivotButton="0" quotePrefix="0" xfId="0"/>
    <xf numFmtId="164" fontId="2" fillId="0" borderId="1" pivotButton="0" quotePrefix="0" xfId="0"/>
    <xf numFmtId="165" fontId="2" fillId="0" borderId="1" pivotButton="0" quotePrefix="0" xfId="0"/>
    <xf numFmtId="164" fontId="4" fillId="4" borderId="1" pivotButton="0" quotePrefix="0" xfId="0"/>
    <xf numFmtId="0" fontId="4" fillId="0" borderId="0" pivotButton="0" quotePrefix="0" xfId="0"/>
    <xf numFmtId="0" fontId="2" fillId="2" borderId="1" pivotButton="0" quotePrefix="0" xfId="0"/>
    <xf numFmtId="0" fontId="1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F5496"/>
    <outlinePr summaryBelow="1" summaryRight="1"/>
    <pageSetUpPr/>
  </sheetPr>
  <dimension ref="B2:D70"/>
  <sheetViews>
    <sheetView workbookViewId="0">
      <selection activeCell="A1" sqref="A1"/>
    </sheetView>
  </sheetViews>
  <sheetFormatPr baseColWidth="8" defaultRowHeight="15"/>
  <cols>
    <col width="2" customWidth="1" min="1" max="1"/>
    <col width="36" customWidth="1" min="2" max="2"/>
    <col width="16" customWidth="1" min="3" max="3"/>
    <col width="16" customWidth="1" min="4" max="4"/>
    <col width="2" customWidth="1" min="5" max="5"/>
  </cols>
  <sheetData>
    <row r="2">
      <c r="B2" s="1" t="inlineStr">
        <is>
          <t>Maandoverzicht BV</t>
        </is>
      </c>
    </row>
    <row r="4">
      <c r="B4" s="2" t="inlineStr">
        <is>
          <t>WAT KOMT ER BINNEN (per maand)</t>
        </is>
      </c>
      <c r="C4" s="2" t="inlineStr">
        <is>
          <t>EUR</t>
        </is>
      </c>
      <c r="D4" s="2" t="inlineStr">
        <is>
          <t>USD</t>
        </is>
      </c>
    </row>
    <row r="5">
      <c r="B5" s="3" t="inlineStr">
        <is>
          <t>Maandinkomen (kwartaalfactuur ÷ 3)</t>
        </is>
      </c>
      <c r="C5" s="29">
        <f>IFERROR(ROUND(D5*Parameters!C7,0),0)</f>
        <v/>
      </c>
      <c r="D5" s="30">
        <f>IFERROR(ROUND(Parameters!C6/3,0),0)</f>
        <v/>
      </c>
    </row>
    <row r="7">
      <c r="B7" s="2" t="inlineStr">
        <is>
          <t>WAT MOET OPZIJ (per maand)</t>
        </is>
      </c>
      <c r="C7" s="2" t="inlineStr">
        <is>
          <t>EUR</t>
        </is>
      </c>
      <c r="D7" s="2" t="inlineStr">
        <is>
          <t>USD</t>
        </is>
      </c>
    </row>
    <row r="8">
      <c r="B8" s="3" t="inlineStr">
        <is>
          <t>Salaris DGA (bruto, incl. loonheffing)</t>
        </is>
      </c>
      <c r="C8" s="29">
        <f>Parameters!C10</f>
        <v/>
      </c>
      <c r="D8" s="30">
        <f>IFERROR(ROUND(C8/Parameters!C7,0),0)</f>
        <v/>
      </c>
    </row>
    <row r="9">
      <c r="B9" s="3" t="inlineStr">
        <is>
          <t>Werkgeversheffing ZVW</t>
        </is>
      </c>
      <c r="C9" s="29">
        <f>IFERROR(ROUND(Parameters!C10*Parameters!C12,0),0)</f>
        <v/>
      </c>
      <c r="D9" s="30">
        <f>IFERROR(ROUND(C9/Parameters!C7,0),0)</f>
        <v/>
      </c>
    </row>
    <row r="10">
      <c r="B10" s="3" t="inlineStr">
        <is>
          <t>VPB reservering</t>
        </is>
      </c>
      <c r="C10" s="35">
        <f>'VPB Berekening'!C17</f>
        <v/>
      </c>
      <c r="D10" s="30">
        <f>IFERROR(ROUND(C10/Parameters!C7,0),0)</f>
        <v/>
      </c>
    </row>
    <row r="11">
      <c r="B11" s="3" t="inlineStr">
        <is>
          <t>Overige BV kosten</t>
        </is>
      </c>
      <c r="C11" s="29">
        <f>IFERROR(ROUND(Parameters!C28/12,0),0)</f>
        <v/>
      </c>
      <c r="D11" s="30">
        <f>IFERROR(ROUND(C11/Parameters!C7,0),0)</f>
        <v/>
      </c>
    </row>
    <row r="12">
      <c r="B12" s="16" t="inlineStr">
        <is>
          <t>NB: loonheffing zit IN het bruto; BV draagt dit af aan belastingdienst</t>
        </is>
      </c>
      <c r="C12" s="56" t="inlineStr"/>
      <c r="D12" s="57" t="inlineStr"/>
    </row>
    <row r="14">
      <c r="B14" s="6" t="inlineStr">
        <is>
          <t>Totaal opzij leggen</t>
        </is>
      </c>
      <c r="C14" s="31">
        <f>SUM(C8:C11)</f>
        <v/>
      </c>
      <c r="D14" s="32">
        <f>SUM(D8:D11)</f>
        <v/>
      </c>
    </row>
    <row r="16">
      <c r="B16" s="2" t="inlineStr">
        <is>
          <t>WAT BLIJFT OVER</t>
        </is>
      </c>
      <c r="C16" s="2" t="inlineStr">
        <is>
          <t>EUR</t>
        </is>
      </c>
      <c r="D16" s="2" t="inlineStr">
        <is>
          <t>USD</t>
        </is>
      </c>
    </row>
    <row r="17">
      <c r="B17" s="9" t="inlineStr">
        <is>
          <t>Vrij te besteden per maand</t>
        </is>
      </c>
      <c r="C17" s="33">
        <f>C5-C14</f>
        <v/>
      </c>
      <c r="D17" s="34">
        <f>D5-D14</f>
        <v/>
      </c>
    </row>
    <row r="19">
      <c r="B19" s="2" t="inlineStr">
        <is>
          <t>DIVIDEND (als je winst uitkeert)</t>
        </is>
      </c>
      <c r="C19" s="2" t="n"/>
      <c r="D19" s="2" t="n"/>
    </row>
    <row r="20">
      <c r="B20" s="3" t="inlineStr">
        <is>
          <t>Verwachte jaarwinst na VPB</t>
        </is>
      </c>
      <c r="C20" s="35">
        <f>IFERROR('VPB Berekening'!C20,0)</f>
        <v/>
      </c>
    </row>
    <row r="21">
      <c r="B21" s="3" t="inlineStr">
        <is>
          <t>Dividendbelasting bij volledige uitkering</t>
        </is>
      </c>
      <c r="C21" s="36">
        <f>IFERROR(ROUND(C20*Parameters!C34,0),0)</f>
        <v/>
      </c>
    </row>
    <row r="22">
      <c r="B22" s="3" t="inlineStr">
        <is>
          <t>Per maand reserveren voor dividendbelasting</t>
        </is>
      </c>
      <c r="C22" s="37">
        <f>IFERROR(ROUND(C21/12,0),0)</f>
        <v/>
      </c>
      <c r="D22" s="38">
        <f>IFERROR(ROUND(C22/Parameters!C7,0),0)</f>
        <v/>
      </c>
    </row>
    <row r="24">
      <c r="B24" s="16" t="inlineStr">
        <is>
          <t>Converteer maandelijks het EUR bedrag uit "Totaal opzij" voor salaris + belasting.</t>
        </is>
      </c>
    </row>
    <row r="25">
      <c r="B25" s="16" t="inlineStr">
        <is>
          <t>De rest kan in USD blijven staan tot je een gunstige koers ziet.</t>
        </is>
      </c>
    </row>
    <row r="27">
      <c r="B27" s="2" t="inlineStr">
        <is>
          <t>HUIDIGE STAND</t>
        </is>
      </c>
      <c r="C27" s="2" t="inlineStr">
        <is>
          <t>EUR</t>
        </is>
      </c>
      <c r="D27" s="2" t="inlineStr">
        <is>
          <t>USD</t>
        </is>
      </c>
    </row>
    <row r="28">
      <c r="B28" s="3" t="inlineStr">
        <is>
          <t>Saldo EUR rekeningen</t>
        </is>
      </c>
      <c r="C28" s="35">
        <f>Parameters!C41</f>
        <v/>
      </c>
    </row>
    <row r="29">
      <c r="B29" s="3" t="inlineStr">
        <is>
          <t>Saldo USD rekeningen</t>
        </is>
      </c>
      <c r="C29" s="29">
        <f>IFERROR(D29*Parameters!C7,0)</f>
        <v/>
      </c>
      <c r="D29" s="39">
        <f>Parameters!C42</f>
        <v/>
      </c>
    </row>
    <row r="30">
      <c r="B30" s="22" t="inlineStr">
        <is>
          <t>Totaal nu (EUR)</t>
        </is>
      </c>
      <c r="C30" s="40">
        <f>C28+C29</f>
        <v/>
      </c>
    </row>
    <row r="32">
      <c r="B32" s="2" t="inlineStr">
        <is>
          <t>EINDE JAAR PROGNOSE</t>
        </is>
      </c>
      <c r="C32" s="2" t="inlineStr">
        <is>
          <t>EUR</t>
        </is>
      </c>
      <c r="D32" s="2" t="n"/>
    </row>
    <row r="33">
      <c r="B33" s="3" t="inlineStr">
        <is>
          <t>Huidige maand (1-12)</t>
        </is>
      </c>
      <c r="C33" s="41" t="n">
        <v>3</v>
      </c>
      <c r="D33" s="16" t="inlineStr">
        <is>
          <t>← Pas aan per maand</t>
        </is>
      </c>
    </row>
    <row r="34">
      <c r="B34" s="3" t="inlineStr">
        <is>
          <t>Resterende maanden dit jaar</t>
        </is>
      </c>
      <c r="C34" s="42">
        <f>12-C33</f>
        <v/>
      </c>
    </row>
    <row r="35">
      <c r="B35" s="3" t="inlineStr">
        <is>
          <t>Huidig vermogen (EUR)</t>
        </is>
      </c>
      <c r="C35" s="29">
        <f>C30</f>
        <v/>
      </c>
    </row>
    <row r="36">
      <c r="B36" s="3" t="inlineStr">
        <is>
          <t>Plus: resterende inkomsten</t>
        </is>
      </c>
      <c r="C36" s="29">
        <f>IFERROR(C5*C34,0)</f>
        <v/>
      </c>
    </row>
    <row r="37">
      <c r="B37" s="3" t="inlineStr">
        <is>
          <t>Minus: salariskosten resterende maanden</t>
        </is>
      </c>
      <c r="C37" s="29">
        <f>IFERROR((C8+C9)*C34,0)</f>
        <v/>
      </c>
      <c r="D37" s="16" t="inlineStr">
        <is>
          <t>Bruto + ZVW × resterende mnd</t>
        </is>
      </c>
    </row>
    <row r="38">
      <c r="B38" s="3" t="inlineStr">
        <is>
          <t>Minus: overige BV kosten resterende maanden</t>
        </is>
      </c>
      <c r="C38" s="29">
        <f>IFERROR(C11*C34,0)</f>
        <v/>
      </c>
    </row>
    <row r="39">
      <c r="B39" s="3" t="inlineStr">
        <is>
          <t>Minus: VPB nog te betalen</t>
        </is>
      </c>
      <c r="C39" s="58">
        <f>IFERROR('VPB Berekening'!C15-Parameters!C56,0)</f>
        <v/>
      </c>
      <c r="D39" s="16" t="inlineStr">
        <is>
          <t>Jaar-VPB minus al betaald</t>
        </is>
      </c>
    </row>
    <row r="40">
      <c r="B40" s="43" t="inlineStr">
        <is>
          <t>Verwacht vermogen einde jaar</t>
        </is>
      </c>
      <c r="C40" s="44">
        <f>C35+C36-C37-C38-C39</f>
        <v/>
      </c>
    </row>
    <row r="41">
      <c r="B41" s="9" t="inlineStr">
        <is>
          <t>Waarvan beschikbaar voor dividend</t>
        </is>
      </c>
      <c r="C41" s="33">
        <f>IFERROR('VPB Berekening'!C20,0)</f>
        <v/>
      </c>
    </row>
    <row r="42">
      <c r="B42" s="9" t="inlineStr">
        <is>
          <t>Waarvan beschikbaar voor dividend</t>
        </is>
      </c>
      <c r="C42" s="33">
        <f>MIN(C40,IFERROR('VPB Berekening'!C20,0))</f>
        <v/>
      </c>
      <c r="D42" s="16" t="inlineStr">
        <is>
          <t>Laagste van: winst na VPB of banksaldo</t>
        </is>
      </c>
    </row>
    <row r="43">
      <c r="B43" s="3" t="inlineStr">
        <is>
          <t>Na dividendbelasting (26.9%) in je pocket</t>
        </is>
      </c>
      <c r="C43" s="33">
        <f>IFERROR(ROUND(C42*(1-Parameters!C34),0),0)</f>
        <v/>
      </c>
    </row>
    <row r="44">
      <c r="B44" s="2" t="inlineStr">
        <is>
          <t>VERPLICHTE BELASTING</t>
        </is>
      </c>
      <c r="C44" s="2" t="inlineStr">
        <is>
          <t>Jaar</t>
        </is>
      </c>
      <c r="D44" s="2" t="inlineStr">
        <is>
          <t>Nog open</t>
        </is>
      </c>
    </row>
    <row r="45">
      <c r="B45" s="3" t="inlineStr">
        <is>
          <t>VPB</t>
        </is>
      </c>
      <c r="C45" s="29">
        <f>IFERROR('VPB Berekening'!C15,0)</f>
        <v/>
      </c>
      <c r="D45" s="29">
        <f>IFERROR('VPB Berekening'!C15-Parameters!C56,0)</f>
        <v/>
      </c>
    </row>
    <row r="46">
      <c r="B46" s="6" t="inlineStr">
        <is>
          <t>Totaal verplicht</t>
        </is>
      </c>
      <c r="C46" s="51">
        <f>C45</f>
        <v/>
      </c>
      <c r="D46" s="31">
        <f>D45</f>
        <v/>
      </c>
    </row>
    <row r="47">
      <c r="B47" s="3" t="n"/>
      <c r="C47" s="3" t="n"/>
      <c r="D47" s="3" t="n"/>
    </row>
    <row r="48">
      <c r="B48" s="3" t="inlineStr">
        <is>
          <t>Verwacht vermogen einde jaar</t>
        </is>
      </c>
      <c r="C48" s="48">
        <f>C40</f>
        <v/>
      </c>
      <c r="D48" s="59" t="n"/>
    </row>
    <row r="49">
      <c r="B49" s="3" t="inlineStr">
        <is>
          <t>Minus: VPB nog te betalen</t>
        </is>
      </c>
      <c r="C49" s="48">
        <f>D46</f>
        <v/>
      </c>
      <c r="D49" s="3" t="n"/>
    </row>
    <row r="50">
      <c r="B50" s="43" t="inlineStr">
        <is>
          <t>Vrij in de BV (na verplichte belasting)</t>
        </is>
      </c>
      <c r="C50" s="44">
        <f>C48-C49</f>
        <v/>
      </c>
      <c r="D50" s="3" t="n"/>
    </row>
    <row r="51">
      <c r="B51" s="3" t="n"/>
      <c r="C51" s="3" t="n"/>
      <c r="D51" s="3" t="n"/>
    </row>
    <row r="52">
      <c r="B52" s="2" t="inlineStr">
        <is>
          <t>ALS JE DIVIDEND UITKEERT</t>
        </is>
      </c>
      <c r="C52" s="2" t="n"/>
      <c r="D52" s="2" t="n"/>
    </row>
    <row r="53">
      <c r="B53" s="3" t="inlineStr">
        <is>
          <t>Beschikbaar voor dividend (winst na VPB)</t>
        </is>
      </c>
      <c r="C53" s="29">
        <f>MIN(C50,IFERROR('VPB Berekening'!C20,0))</f>
        <v/>
      </c>
      <c r="D53" s="3" t="n"/>
    </row>
    <row r="54">
      <c r="B54" s="3" t="inlineStr">
        <is>
          <t>Dividendbelasting (26.9%)</t>
        </is>
      </c>
      <c r="C54" s="29">
        <f>IFERROR(ROUND(C53*Parameters!C34,0),0)</f>
        <v/>
      </c>
      <c r="D54" s="3" t="n"/>
    </row>
    <row r="55">
      <c r="B55" s="9" t="inlineStr">
        <is>
          <t>Netto in je pocket na dividend</t>
        </is>
      </c>
      <c r="C55" s="33">
        <f>C53-C54</f>
        <v/>
      </c>
      <c r="D55" s="59" t="n"/>
    </row>
    <row r="56">
      <c r="B56" s="3" t="n"/>
      <c r="C56" s="3" t="n"/>
      <c r="D56" s="59" t="n"/>
    </row>
    <row r="57">
      <c r="B57" s="2" t="inlineStr">
        <is>
          <t>ALS JE RC OMZET NAAR DIVIDEND</t>
        </is>
      </c>
      <c r="C57" s="2" t="n"/>
      <c r="D57" s="60" t="inlineStr">
        <is>
          <t>RC schuld "aflossen" via dividenduitkering</t>
        </is>
      </c>
    </row>
    <row r="58">
      <c r="B58" s="3" t="inlineStr">
        <is>
          <t>RC schuld DGA aan BV</t>
        </is>
      </c>
      <c r="C58" s="35">
        <f>Parameters!C47</f>
        <v/>
      </c>
      <c r="D58" s="59" t="n"/>
    </row>
    <row r="59">
      <c r="B59" s="3" t="inlineStr">
        <is>
          <t>Dividendbelasting over RC (26.9%)</t>
        </is>
      </c>
      <c r="C59" s="36">
        <f>IFERROR(ROUND(C58*Parameters!C34,0),0)</f>
        <v/>
      </c>
      <c r="D59" s="59" t="n"/>
    </row>
    <row r="60">
      <c r="B60" s="27" t="inlineStr">
        <is>
          <t>BV moet cash betalen (alleen divbelasting)</t>
        </is>
      </c>
      <c r="C60" s="48">
        <f>C59</f>
        <v/>
      </c>
      <c r="D60" s="16" t="inlineStr">
        <is>
          <t>RC zelf is verrekening, kost geen cash</t>
        </is>
      </c>
    </row>
    <row r="61">
      <c r="B61" s="3" t="inlineStr">
        <is>
          <t>Genoeg in de BV voor divbelasting?</t>
        </is>
      </c>
      <c r="C61" s="61">
        <f>IF(C50&gt;=C59,"Ja ✓","Nee ✗ — niet genoeg vermogen")</f>
        <v/>
      </c>
      <c r="D61" s="59" t="n"/>
    </row>
    <row r="62">
      <c r="B62" s="59" t="n"/>
      <c r="C62" s="59" t="n"/>
      <c r="D62" s="59" t="n"/>
    </row>
    <row r="63">
      <c r="B63" s="9" t="inlineStr">
        <is>
          <t>Na RC dividendbelasting blijft over in BV</t>
        </is>
      </c>
      <c r="C63" s="33">
        <f>C50-C59</f>
        <v/>
      </c>
      <c r="D63" s="16" t="inlineStr">
        <is>
          <t>Vrij vermogen minus divbelasting RC</t>
        </is>
      </c>
    </row>
    <row r="65">
      <c r="B65" s="2" t="inlineStr">
        <is>
          <t>TOTAAL ALS JE ALLES UITKEERT (dividend + RC)</t>
        </is>
      </c>
      <c r="C65" s="2" t="n"/>
      <c r="D65" s="2" t="n"/>
    </row>
    <row r="66">
      <c r="B66" s="3" t="inlineStr">
        <is>
          <t>Dividend + RC samen</t>
        </is>
      </c>
      <c r="C66" s="29">
        <f>C53+C58</f>
        <v/>
      </c>
    </row>
    <row r="67">
      <c r="B67" s="3" t="inlineStr">
        <is>
          <t>Totale dividendbelasting</t>
        </is>
      </c>
      <c r="C67" s="31">
        <f>C54+C59</f>
        <v/>
      </c>
    </row>
    <row r="68">
      <c r="B68" s="54" t="inlineStr">
        <is>
          <t>Netto naar jou privé (na alle belasting)</t>
        </is>
      </c>
      <c r="C68" s="55">
        <f>C55+C58</f>
        <v/>
      </c>
      <c r="D68" s="16" t="inlineStr">
        <is>
          <t>Dividend netto + RC schuld kwijtgescholden</t>
        </is>
      </c>
    </row>
    <row r="70">
      <c r="B70" s="27" t="inlineStr">
        <is>
          <t>Resteert in de BV</t>
        </is>
      </c>
      <c r="C70" s="48">
        <f>C50-C54-C59</f>
        <v/>
      </c>
      <c r="D70" s="16" t="inlineStr">
        <is>
          <t>Na alle dividendbelasting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FC000"/>
    <outlinePr summaryBelow="1" summaryRight="1"/>
    <pageSetUpPr/>
  </sheetPr>
  <dimension ref="B2:D57"/>
  <sheetViews>
    <sheetView workbookViewId="0">
      <selection activeCell="A1" sqref="A1"/>
    </sheetView>
  </sheetViews>
  <sheetFormatPr baseColWidth="8" defaultRowHeight="15"/>
  <cols>
    <col width="2" customWidth="1" min="1" max="1"/>
    <col width="36" customWidth="1" min="2" max="2"/>
    <col width="16" customWidth="1" min="3" max="3"/>
    <col width="28" customWidth="1" min="4" max="4"/>
    <col width="2" customWidth="1" min="5" max="5"/>
  </cols>
  <sheetData>
    <row r="2">
      <c r="B2" s="1" t="inlineStr">
        <is>
          <t>Parameters</t>
        </is>
      </c>
    </row>
    <row r="3">
      <c r="B3" s="16" t="inlineStr">
        <is>
          <t>Vul alleen de gele cellen in. De rest rekent automatisch.</t>
        </is>
      </c>
    </row>
    <row r="5">
      <c r="B5" s="2" t="inlineStr">
        <is>
          <t>INKOMEN</t>
        </is>
      </c>
      <c r="C5" s="2" t="n"/>
      <c r="D5" s="2" t="n"/>
    </row>
    <row r="6">
      <c r="B6" s="3" t="inlineStr">
        <is>
          <t>Kwartaalfactuur (USD)</t>
        </is>
      </c>
      <c r="C6" s="45" t="n">
        <v>52500</v>
      </c>
    </row>
    <row r="7">
      <c r="B7" s="3" t="inlineStr">
        <is>
          <t>Wisselkoers USD → EUR</t>
        </is>
      </c>
      <c r="C7" s="46" t="n">
        <v>0.875</v>
      </c>
      <c r="D7" s="19" t="inlineStr">
        <is>
          <t>← Vervang met =GOOGLEFINANCE("CURRENCY:USDEUR")</t>
        </is>
      </c>
    </row>
    <row r="9">
      <c r="B9" s="2" t="inlineStr">
        <is>
          <t>SALARIS DGA</t>
        </is>
      </c>
      <c r="C9" s="2" t="n"/>
      <c r="D9" s="2" t="n"/>
    </row>
    <row r="10">
      <c r="B10" s="3" t="inlineStr">
        <is>
          <t>Bruto maandsalaris</t>
        </is>
      </c>
      <c r="C10" s="47" t="n">
        <v>5500</v>
      </c>
      <c r="D10" s="19" t="inlineStr">
        <is>
          <t>Min. €5.000/mnd (gebruikelijk loon 2026)</t>
        </is>
      </c>
    </row>
    <row r="11">
      <c r="B11" s="3" t="inlineStr">
        <is>
          <t>Loonheffing %</t>
        </is>
      </c>
      <c r="C11" s="21" t="n">
        <v>0.3697</v>
      </c>
      <c r="D11" s="16" t="inlineStr">
        <is>
          <t>Gecombineerd tarief, vraag je accountant</t>
        </is>
      </c>
    </row>
    <row r="12">
      <c r="B12" s="3" t="inlineStr">
        <is>
          <t>Werkgeversheffing ZVW %</t>
        </is>
      </c>
      <c r="C12" s="21" t="n">
        <v>0.0668</v>
      </c>
    </row>
    <row r="14">
      <c r="B14" s="2" t="inlineStr">
        <is>
          <t>AFTREKBARE JAARKOSTEN BV</t>
        </is>
      </c>
      <c r="C14" s="2" t="n"/>
      <c r="D14" s="2" t="inlineStr">
        <is>
          <t>Jaarlijks bedrag</t>
        </is>
      </c>
    </row>
    <row r="15">
      <c r="B15" s="3" t="inlineStr">
        <is>
          <t>Accountant / boekhouder</t>
        </is>
      </c>
      <c r="C15" s="47" t="n">
        <v>3000</v>
      </c>
    </row>
    <row r="16">
      <c r="B16" s="3" t="inlineStr">
        <is>
          <t>Software &amp; tools</t>
        </is>
      </c>
      <c r="C16" s="47" t="n">
        <v>2000</v>
      </c>
      <c r="D16" s="16" t="inlineStr">
        <is>
          <t>Licenties, SaaS, etc.</t>
        </is>
      </c>
    </row>
    <row r="17">
      <c r="B17" s="3" t="inlineStr">
        <is>
          <t>Kantoor / werkplek</t>
        </is>
      </c>
      <c r="C17" s="47" t="n">
        <v>0</v>
      </c>
      <c r="D17" s="16" t="inlineStr">
        <is>
          <t>Huur, thuiswerkplek, internet</t>
        </is>
      </c>
    </row>
    <row r="18">
      <c r="B18" s="3" t="inlineStr">
        <is>
          <t>Auto van de zaak (lease/afschrijving)</t>
        </is>
      </c>
      <c r="C18" s="47" t="n">
        <v>0</v>
      </c>
      <c r="D18" s="16" t="inlineStr">
        <is>
          <t>Maandlease × 12 of afschrijving</t>
        </is>
      </c>
    </row>
    <row r="19">
      <c r="B19" s="3" t="inlineStr">
        <is>
          <t>Auto bijtelling (correctie)</t>
        </is>
      </c>
      <c r="C19" s="47" t="n">
        <v>0</v>
      </c>
      <c r="D19" s="16" t="inlineStr">
        <is>
          <t>Negatief als bijtelling, positief als aftrek</t>
        </is>
      </c>
    </row>
    <row r="20">
      <c r="B20" s="3" t="inlineStr">
        <is>
          <t>Brandstof / laden</t>
        </is>
      </c>
      <c r="C20" s="47" t="n">
        <v>0</v>
      </c>
    </row>
    <row r="21">
      <c r="B21" s="3" t="inlineStr">
        <is>
          <t>Verzekeringen</t>
        </is>
      </c>
      <c r="C21" s="47" t="n">
        <v>0</v>
      </c>
      <c r="D21" s="16" t="inlineStr">
        <is>
          <t>Beroepsaansprakelijkheid, etc.</t>
        </is>
      </c>
    </row>
    <row r="22">
      <c r="B22" s="3" t="inlineStr">
        <is>
          <t>Telefoon &amp; internet</t>
        </is>
      </c>
      <c r="C22" s="47" t="n">
        <v>0</v>
      </c>
      <c r="D22" s="16" t="inlineStr">
        <is>
          <t>Zakelijk deel</t>
        </is>
      </c>
    </row>
    <row r="23">
      <c r="B23" s="3" t="inlineStr">
        <is>
          <t>Reiskosten (excl. auto)</t>
        </is>
      </c>
      <c r="C23" s="47" t="n">
        <v>0</v>
      </c>
      <c r="D23" s="16" t="inlineStr">
        <is>
          <t>OV, vluchten, hotels</t>
        </is>
      </c>
    </row>
    <row r="24">
      <c r="B24" s="3" t="inlineStr">
        <is>
          <t>Opleidingen &amp; cursussen</t>
        </is>
      </c>
      <c r="C24" s="47" t="n">
        <v>0</v>
      </c>
    </row>
    <row r="25">
      <c r="B25" s="3" t="inlineStr">
        <is>
          <t>Afschrijvingen (overig)</t>
        </is>
      </c>
      <c r="C25" s="47" t="n">
        <v>0</v>
      </c>
      <c r="D25" s="16" t="inlineStr">
        <is>
          <t>Laptop, meubilair, etc.</t>
        </is>
      </c>
    </row>
    <row r="26">
      <c r="B26" s="3" t="inlineStr">
        <is>
          <t>Pensioen (eigen bijdrage BV)</t>
        </is>
      </c>
      <c r="C26" s="47" t="n">
        <v>0</v>
      </c>
      <c r="D26" s="16" t="inlineStr">
        <is>
          <t>Indien van toepassing</t>
        </is>
      </c>
    </row>
    <row r="27">
      <c r="B27" s="3" t="inlineStr">
        <is>
          <t>Overige kosten</t>
        </is>
      </c>
      <c r="C27" s="47" t="n">
        <v>0</v>
      </c>
    </row>
    <row r="28">
      <c r="B28" s="22" t="inlineStr">
        <is>
          <t>Totaal jaarkosten BV</t>
        </is>
      </c>
      <c r="C28" s="40">
        <f>SUM(C15:C27)</f>
        <v/>
      </c>
    </row>
    <row r="30">
      <c r="B30" s="2" t="inlineStr">
        <is>
          <t>VPB TARIEVEN (pas aan bij wetswijziging)</t>
        </is>
      </c>
      <c r="C30" s="2" t="n"/>
      <c r="D30" s="2" t="n"/>
    </row>
    <row r="31">
      <c r="B31" s="3" t="inlineStr">
        <is>
          <t>Grens laag tarief</t>
        </is>
      </c>
      <c r="C31" s="47" t="n">
        <v>200000</v>
      </c>
    </row>
    <row r="32">
      <c r="B32" s="3" t="inlineStr">
        <is>
          <t>Laag tarief</t>
        </is>
      </c>
      <c r="C32" s="21" t="n">
        <v>0.19</v>
      </c>
    </row>
    <row r="33">
      <c r="B33" s="3" t="inlineStr">
        <is>
          <t>Hoog tarief</t>
        </is>
      </c>
      <c r="C33" s="21" t="n">
        <v>0.258</v>
      </c>
    </row>
    <row r="34">
      <c r="B34" s="3" t="inlineStr">
        <is>
          <t>Dividendbelasting (AB-heffing)</t>
        </is>
      </c>
      <c r="C34" s="21" t="n">
        <v>0.269</v>
      </c>
    </row>
    <row r="36">
      <c r="B36" s="2" t="inlineStr">
        <is>
          <t>BANKSALDI (actueel)</t>
        </is>
      </c>
      <c r="C36" s="2" t="inlineStr">
        <is>
          <t>Saldo</t>
        </is>
      </c>
      <c r="D36" s="2" t="inlineStr">
        <is>
          <t>Valuta</t>
        </is>
      </c>
    </row>
    <row r="37">
      <c r="B37" s="3" t="inlineStr">
        <is>
          <t>Zakelijke rekening EUR</t>
        </is>
      </c>
      <c r="C37" s="47" t="n">
        <v>0</v>
      </c>
    </row>
    <row r="38">
      <c r="B38" s="3" t="inlineStr">
        <is>
          <t>Spaarrekening EUR</t>
        </is>
      </c>
      <c r="C38" s="47" t="n">
        <v>0</v>
      </c>
    </row>
    <row r="39">
      <c r="B39" s="3" t="inlineStr">
        <is>
          <t>Zakelijke rekening USD</t>
        </is>
      </c>
      <c r="C39" s="45" t="n">
        <v>0</v>
      </c>
    </row>
    <row r="40">
      <c r="B40" s="3" t="inlineStr">
        <is>
          <t>USD spaarrekening</t>
        </is>
      </c>
      <c r="C40" s="45" t="n">
        <v>0</v>
      </c>
    </row>
    <row r="41">
      <c r="B41" s="27" t="inlineStr">
        <is>
          <t>Totaal EUR</t>
        </is>
      </c>
      <c r="C41" s="48">
        <f>C37+C38</f>
        <v/>
      </c>
    </row>
    <row r="42">
      <c r="B42" s="27" t="inlineStr">
        <is>
          <t>Totaal USD</t>
        </is>
      </c>
      <c r="C42" s="49">
        <f>C39+C40</f>
        <v/>
      </c>
    </row>
    <row r="43">
      <c r="B43" s="27" t="inlineStr">
        <is>
          <t>USD saldo in EUR (actuele koers)</t>
        </is>
      </c>
      <c r="C43" s="48">
        <f>IFERROR(C42*C7,0)</f>
        <v/>
      </c>
    </row>
    <row r="44">
      <c r="B44" s="22" t="inlineStr">
        <is>
          <t>Totaal vermogen (EUR)</t>
        </is>
      </c>
      <c r="C44" s="40">
        <f>C41+C43</f>
        <v/>
      </c>
    </row>
    <row r="46">
      <c r="B46" s="2" t="inlineStr">
        <is>
          <t>REKENING COURANT (DGA ↔ BV)</t>
        </is>
      </c>
      <c r="C46" s="2" t="n"/>
      <c r="D46" s="2" t="n"/>
    </row>
    <row r="47">
      <c r="B47" s="3" t="inlineStr">
        <is>
          <t>RC schuld DGA aan BV</t>
        </is>
      </c>
      <c r="C47" s="47" t="n">
        <v>0</v>
      </c>
      <c r="D47" s="16" t="inlineStr">
        <is>
          <t>Positief = jij hebt schuld aan BV</t>
        </is>
      </c>
    </row>
    <row r="48">
      <c r="B48" s="3" t="inlineStr">
        <is>
          <t>Drempel excessief lenen (2026)</t>
        </is>
      </c>
      <c r="C48" s="47" t="n">
        <v>500000</v>
      </c>
      <c r="D48" s="16" t="inlineStr">
        <is>
          <t>Wet excessief lenen bij DGA</t>
        </is>
      </c>
    </row>
    <row r="49">
      <c r="B49" s="27" t="inlineStr">
        <is>
          <t>Excessief deel (boven drempel)</t>
        </is>
      </c>
      <c r="C49" s="48">
        <f>MAX(0,C47-C48)</f>
        <v/>
      </c>
    </row>
    <row r="50">
      <c r="B50" s="6" t="inlineStr">
        <is>
          <t>AB-heffing over excessief deel (26.9%)</t>
        </is>
      </c>
      <c r="C50" s="31">
        <f>IFERROR(ROUND(C49*C34,0),0)</f>
        <v/>
      </c>
      <c r="D50" s="19" t="inlineStr">
        <is>
          <t>Belast als fictief dividend</t>
        </is>
      </c>
    </row>
    <row r="52">
      <c r="B52" s="3" t="inlineStr">
        <is>
          <t>Zakelijke rente op RC (per jaar)</t>
        </is>
      </c>
      <c r="C52" s="47" t="n">
        <v>0</v>
      </c>
      <c r="D52" s="16" t="inlineStr">
        <is>
          <t>BV moet rente berekenen aan DGA</t>
        </is>
      </c>
    </row>
    <row r="55">
      <c r="B55" s="2" t="inlineStr">
        <is>
          <t>AL BETAALD DIT JAAR</t>
        </is>
      </c>
      <c r="C55" s="2" t="n"/>
      <c r="D55" s="2" t="n"/>
    </row>
    <row r="56">
      <c r="B56" s="3" t="inlineStr">
        <is>
          <t>VPB voorlopige aanslag betaald</t>
        </is>
      </c>
      <c r="C56" s="47" t="n">
        <v>0</v>
      </c>
    </row>
    <row r="57">
      <c r="B57" s="3" t="inlineStr">
        <is>
          <t>Dividendbelasting betaald</t>
        </is>
      </c>
      <c r="C57" s="4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C0000"/>
    <outlinePr summaryBelow="1" summaryRight="1"/>
    <pageSetUpPr/>
  </sheetPr>
  <dimension ref="B2:D20"/>
  <sheetViews>
    <sheetView workbookViewId="0">
      <selection activeCell="A1" sqref="A1"/>
    </sheetView>
  </sheetViews>
  <sheetFormatPr baseColWidth="8" defaultRowHeight="15"/>
  <cols>
    <col width="2" customWidth="1" min="1" max="1"/>
    <col width="38" customWidth="1" min="2" max="2"/>
    <col width="18" customWidth="1" min="3" max="3"/>
    <col width="24" customWidth="1" min="4" max="4"/>
    <col width="2" customWidth="1" min="5" max="5"/>
  </cols>
  <sheetData>
    <row r="2">
      <c r="B2" s="1" t="inlineStr">
        <is>
          <t>VPB Berekening</t>
        </is>
      </c>
    </row>
    <row r="3">
      <c r="B3" s="16" t="inlineStr">
        <is>
          <t>Automatisch berekend vanuit Parameters. Niet aanpassen.</t>
        </is>
      </c>
    </row>
    <row r="5">
      <c r="B5" s="2" t="inlineStr">
        <is>
          <t>OPBRENGSTEN</t>
        </is>
      </c>
      <c r="C5" s="2" t="n"/>
      <c r="D5" s="2" t="n"/>
    </row>
    <row r="6">
      <c r="B6" s="3" t="inlineStr">
        <is>
          <t>Jaaromzet USD</t>
        </is>
      </c>
      <c r="C6" s="30">
        <f>Parameters!C6*4</f>
        <v/>
      </c>
    </row>
    <row r="7">
      <c r="B7" s="3" t="inlineStr">
        <is>
          <t>Jaaromzet EUR</t>
        </is>
      </c>
      <c r="C7" s="29">
        <f>IFERROR(C6*Parameters!C7,0)</f>
        <v/>
      </c>
    </row>
    <row r="9">
      <c r="B9" s="2" t="inlineStr">
        <is>
          <t>KOSTEN</t>
        </is>
      </c>
      <c r="C9" s="2" t="n"/>
      <c r="D9" s="2" t="n"/>
    </row>
    <row r="10">
      <c r="B10" s="3" t="inlineStr">
        <is>
          <t>Salaris + ZVW (jaar)</t>
        </is>
      </c>
      <c r="C10" s="29">
        <f>IFERROR(Parameters!C10*12*(1+Parameters!C12),0)</f>
        <v/>
      </c>
      <c r="D10" s="16" t="inlineStr">
        <is>
          <t>Bruto × 12 × (1 + ZVW%)</t>
        </is>
      </c>
    </row>
    <row r="11">
      <c r="B11" s="3" t="inlineStr">
        <is>
          <t>Overige BV kosten (jaar)</t>
        </is>
      </c>
      <c r="C11" s="29">
        <f>Parameters!C28</f>
        <v/>
      </c>
    </row>
    <row r="13">
      <c r="B13" s="2" t="inlineStr">
        <is>
          <t>RESULTAAT</t>
        </is>
      </c>
      <c r="C13" s="2" t="n"/>
      <c r="D13" s="2" t="n"/>
    </row>
    <row r="14">
      <c r="B14" s="22" t="inlineStr">
        <is>
          <t>Belastbare winst</t>
        </is>
      </c>
      <c r="C14" s="50">
        <f>C7-C10-C11</f>
        <v/>
      </c>
    </row>
    <row r="15">
      <c r="B15" s="6" t="inlineStr">
        <is>
          <t>VPB verschuldigd (jaar)</t>
        </is>
      </c>
      <c r="C15" s="51">
        <f>IF(C14&lt;=0,0,IF(C14&lt;=Parameters!C31,C14*Parameters!C32,Parameters!C31*Parameters!C32+(C14-Parameters!C31)*Parameters!C33))</f>
        <v/>
      </c>
    </row>
    <row r="16">
      <c r="B16" s="3" t="inlineStr">
        <is>
          <t>Effectief tarief</t>
        </is>
      </c>
      <c r="C16" s="26">
        <f>IFERROR(C15/C14,0)</f>
        <v/>
      </c>
    </row>
    <row r="17">
      <c r="B17" s="22" t="inlineStr">
        <is>
          <t>Per maand reserveren</t>
        </is>
      </c>
      <c r="C17" s="40">
        <f>IFERROR(ROUND(C15/12,0),0)</f>
        <v/>
      </c>
    </row>
    <row r="18">
      <c r="B18" s="22" t="inlineStr">
        <is>
          <t>Per kwartaal reserveren</t>
        </is>
      </c>
      <c r="C18" s="40">
        <f>IFERROR(ROUND(C15/4,0),0)</f>
        <v/>
      </c>
    </row>
    <row r="20">
      <c r="B20" s="27" t="inlineStr">
        <is>
          <t>Winst na VPB (beschikbaar voor dividend)</t>
        </is>
      </c>
      <c r="C20" s="48">
        <f>C14-C15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2026-03-13T21:40:42Z</dcterms:created>
  <dcterms:modified xsi:type="dcterms:W3CDTF">2026-03-13T22:18:35Z</dcterms:modified>
</cp:coreProperties>
</file>